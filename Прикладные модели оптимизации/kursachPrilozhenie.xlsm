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7A2D7E96-6E34-419A-AE5F-296B3A7E7977}"/>
  <workbookPr filterPrivacy="1" codeName="ЭтаКнига" defaultThemeVersion="124226"/>
  <bookViews>
    <workbookView xWindow="-120" yWindow="-120" windowWidth="19440" windowHeight="13176"/>
  </bookViews>
  <sheets>
    <sheet name="Лист1" sheetId="1" r:id="rId1"/>
    <sheet name="Лист2" sheetId="2" r:id="rId2"/>
    <sheet name="Лист3" sheetId="3" r:id="rId3"/>
  </sheets>
  <definedNames>
    <definedName name="solver_adj" localSheetId="0" hidden="1">Лист1!$E$9:$L$10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Лист1!$E$11:$L$11</definedName>
    <definedName name="solver_lhs2" localSheetId="0" hidden="1">Лист1!$E$17</definedName>
    <definedName name="solver_lhs3" localSheetId="0" hidden="1">Лист1!$E$18</definedName>
    <definedName name="solver_lhs4" localSheetId="0" hidden="1">Лист1!$E$19</definedName>
    <definedName name="solver_lhs5" localSheetId="0" hidden="1">Лист1!$E$22</definedName>
    <definedName name="solver_lhs6" localSheetId="0" hidden="1">Лист1!$E$23</definedName>
    <definedName name="solver_lhs7" localSheetId="0" hidden="1">Лист1!$E$24</definedName>
    <definedName name="solver_lhs8" localSheetId="0" hidden="1">Лист1!$E$9:$L$10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8</definedName>
    <definedName name="solver_nwt" localSheetId="0" hidden="1">1</definedName>
    <definedName name="solver_opt" localSheetId="0" hidden="1">Лист1!$N$8</definedName>
    <definedName name="solver_pre" localSheetId="0" hidden="1">0.00001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4</definedName>
    <definedName name="solver_rhs1" localSheetId="0" hidden="1">Лист1!$E$12:$L$12</definedName>
    <definedName name="solver_rhs2" localSheetId="0" hidden="1">Лист1!$G$17</definedName>
    <definedName name="solver_rhs3" localSheetId="0" hidden="1">Лист1!$G$18</definedName>
    <definedName name="solver_rhs4" localSheetId="0" hidden="1">Лист1!$G$19</definedName>
    <definedName name="solver_rhs5" localSheetId="0" hidden="1">Лист1!$G$22</definedName>
    <definedName name="solver_rhs6" localSheetId="0" hidden="1">Лист1!$G$23</definedName>
    <definedName name="solver_rhs7" localSheetId="0" hidden="1">Лист1!$G$24</definedName>
    <definedName name="solver_rhs8" localSheetId="0" hidden="1">целое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1" l="1"/>
  <c r="E23" i="1"/>
  <c r="E22" i="1"/>
  <c r="E18" i="1"/>
  <c r="E17" i="1"/>
  <c r="F11" i="1"/>
  <c r="G11" i="1"/>
  <c r="H11" i="1"/>
  <c r="I11" i="1"/>
  <c r="J11" i="1"/>
  <c r="K11" i="1"/>
  <c r="E11" i="1"/>
  <c r="E19" i="1" l="1"/>
  <c r="E24" i="1"/>
  <c r="N8" i="1" l="1"/>
</calcChain>
</file>

<file path=xl/sharedStrings.xml><?xml version="1.0" encoding="utf-8"?>
<sst xmlns="http://schemas.openxmlformats.org/spreadsheetml/2006/main" count="34" uniqueCount="31">
  <si>
    <t>Xi</t>
  </si>
  <si>
    <t>Yi</t>
  </si>
  <si>
    <t>Ci</t>
  </si>
  <si>
    <t>Xi+Yi</t>
  </si>
  <si>
    <t>&lt;=</t>
  </si>
  <si>
    <t>Xi+Yi&lt;=</t>
  </si>
  <si>
    <t>Ограничение на количество груза</t>
  </si>
  <si>
    <t>Mi</t>
  </si>
  <si>
    <t>Вес груза в 1 отсеке</t>
  </si>
  <si>
    <t>∑Xi*Mi=</t>
  </si>
  <si>
    <t>Вес груза в 2 отсеке</t>
  </si>
  <si>
    <t>∑Yi*Mi=</t>
  </si>
  <si>
    <t>Общий вес на корабле</t>
  </si>
  <si>
    <t xml:space="preserve"> вес ед. груза в тоннах</t>
  </si>
  <si>
    <t>объем ед в м3</t>
  </si>
  <si>
    <t>Vi</t>
  </si>
  <si>
    <t>∑Xi*Vi=</t>
  </si>
  <si>
    <t>∑Yi*Vi=</t>
  </si>
  <si>
    <t>∑Xi*Vi + ∑Yi*Vi</t>
  </si>
  <si>
    <t>∑Xi*Mi + ∑Yi*Mi</t>
  </si>
  <si>
    <t>Количество груза в 1 отсеке</t>
  </si>
  <si>
    <t>Количество груза в 2 отсеке</t>
  </si>
  <si>
    <t>МиниТракторы</t>
  </si>
  <si>
    <t>Бумага</t>
  </si>
  <si>
    <t>Контейнеры</t>
  </si>
  <si>
    <t>металлопрокат</t>
  </si>
  <si>
    <t xml:space="preserve">пиломатериаллы </t>
  </si>
  <si>
    <t>Трубы</t>
  </si>
  <si>
    <t>Фарфор</t>
  </si>
  <si>
    <t>Чай</t>
  </si>
  <si>
    <t>Цена за 1 ед. груза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</si>
</sst>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_ ;\-#,##0.00\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164" fontId="0" fillId="0" borderId="1" xfId="0" applyNumberFormat="1" applyBorder="1"/>
    <xf numFmtId="1" fontId="0" fillId="0" borderId="5" xfId="0" applyNumberFormat="1" applyBorder="1"/>
    <xf numFmtId="1" fontId="0" fillId="0" borderId="6" xfId="0" applyNumberFormat="1" applyBorder="1"/>
    <xf numFmtId="1" fontId="0" fillId="0" borderId="7" xfId="0" applyNumberFormat="1" applyBorder="1"/>
    <xf numFmtId="1" fontId="0" fillId="0" borderId="8" xfId="0" applyNumberFormat="1" applyBorder="1"/>
    <xf numFmtId="1" fontId="0" fillId="0" borderId="9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6" xfId="0" applyNumberFormat="1" applyBorder="1"/>
    <xf numFmtId="0" fontId="0" fillId="0" borderId="3" xfId="0" applyNumberFormat="1" applyBorder="1"/>
    <xf numFmtId="0" fontId="0" fillId="0" borderId="2" xfId="0" applyNumberFormat="1" applyBorder="1"/>
    <xf numFmtId="0" fontId="0" fillId="0" borderId="4" xfId="0" applyNumberFormat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34</xdr:row>
          <xdr:rowOff>0</xdr:rowOff>
        </xdr:from>
        <xdr:to>
          <xdr:col>7</xdr:col>
          <xdr:colOff>0</xdr:colOff>
          <xdr:row>36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Интерфейс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7:N24"/>
  <sheetViews>
    <sheetView tabSelected="1" topLeftCell="F3" workbookViewId="0">
      <selection activeCell="E26" sqref="E26"/>
    </sheetView>
  </sheetViews>
  <sheetFormatPr defaultRowHeight="14.4" x14ac:dyDescent="0.3"/>
  <cols>
    <col min="1" max="1" width="9.6640625" customWidth="1"/>
    <col min="2" max="2" width="25" customWidth="1"/>
    <col min="4" max="4" width="14.44140625" customWidth="1"/>
    <col min="5" max="5" width="15.6640625" customWidth="1"/>
    <col min="7" max="7" width="13" customWidth="1"/>
    <col min="8" max="8" width="18" customWidth="1"/>
    <col min="9" max="9" width="17.5546875" customWidth="1"/>
    <col min="12" max="12" width="9.44140625" bestFit="1" customWidth="1"/>
    <col min="14" max="14" width="23.109375" customWidth="1"/>
  </cols>
  <sheetData>
    <row r="7" spans="2:14" ht="15" thickBot="1" x14ac:dyDescent="0.35">
      <c r="E7" t="s">
        <v>22</v>
      </c>
      <c r="F7" t="s">
        <v>23</v>
      </c>
      <c r="G7" t="s">
        <v>24</v>
      </c>
      <c r="H7" t="s">
        <v>25</v>
      </c>
      <c r="I7" t="s">
        <v>26</v>
      </c>
      <c r="J7" t="s">
        <v>27</v>
      </c>
      <c r="K7" t="s">
        <v>28</v>
      </c>
      <c r="L7" t="s">
        <v>29</v>
      </c>
    </row>
    <row r="8" spans="2:14" ht="15.6" thickTop="1" thickBot="1" x14ac:dyDescent="0.35">
      <c r="B8" t="s">
        <v>30</v>
      </c>
      <c r="D8" t="s">
        <v>2</v>
      </c>
      <c r="E8" s="13">
        <v>30</v>
      </c>
      <c r="F8" s="12">
        <v>21.5</v>
      </c>
      <c r="G8" s="12">
        <v>51</v>
      </c>
      <c r="H8" s="12">
        <v>275</v>
      </c>
      <c r="I8" s="12">
        <v>110</v>
      </c>
      <c r="J8" s="12">
        <v>34.5</v>
      </c>
      <c r="K8" s="12">
        <v>9</v>
      </c>
      <c r="L8" s="14">
        <v>2.7</v>
      </c>
      <c r="N8" s="3">
        <f>SUMPRODUCT(E8:L8,E9:L9)+SUMPRODUCT(E10:L10,E8:L8)</f>
        <v>76234</v>
      </c>
    </row>
    <row r="9" spans="2:14" ht="15" thickTop="1" x14ac:dyDescent="0.3">
      <c r="B9" t="s">
        <v>20</v>
      </c>
      <c r="D9" t="s">
        <v>0</v>
      </c>
      <c r="E9" s="4">
        <v>95</v>
      </c>
      <c r="F9" s="11">
        <v>700</v>
      </c>
      <c r="G9" s="11">
        <v>24</v>
      </c>
      <c r="H9" s="11">
        <v>14</v>
      </c>
      <c r="I9" s="11">
        <v>41</v>
      </c>
      <c r="J9" s="5">
        <v>0</v>
      </c>
      <c r="K9" s="11">
        <v>464</v>
      </c>
      <c r="L9" s="6">
        <v>1300</v>
      </c>
    </row>
    <row r="10" spans="2:14" ht="15" thickBot="1" x14ac:dyDescent="0.35">
      <c r="B10" t="s">
        <v>21</v>
      </c>
      <c r="D10" t="s">
        <v>1</v>
      </c>
      <c r="E10" s="7">
        <v>5</v>
      </c>
      <c r="F10" s="8">
        <v>0</v>
      </c>
      <c r="G10" s="9">
        <v>0</v>
      </c>
      <c r="H10" s="9">
        <v>40</v>
      </c>
      <c r="I10" s="9">
        <v>269</v>
      </c>
      <c r="J10" s="9">
        <v>0</v>
      </c>
      <c r="K10" s="9">
        <v>36</v>
      </c>
      <c r="L10" s="10">
        <v>0</v>
      </c>
    </row>
    <row r="11" spans="2:14" x14ac:dyDescent="0.3">
      <c r="D11" t="s">
        <v>3</v>
      </c>
      <c r="E11">
        <f>E9+E10</f>
        <v>100</v>
      </c>
      <c r="F11">
        <f t="shared" ref="F11:K11" si="0">F9+F10</f>
        <v>700</v>
      </c>
      <c r="G11">
        <f t="shared" si="0"/>
        <v>24</v>
      </c>
      <c r="H11">
        <f t="shared" si="0"/>
        <v>54</v>
      </c>
      <c r="I11">
        <f t="shared" si="0"/>
        <v>310</v>
      </c>
      <c r="J11">
        <f t="shared" si="0"/>
        <v>0</v>
      </c>
      <c r="K11">
        <f t="shared" si="0"/>
        <v>500</v>
      </c>
      <c r="L11">
        <f>L9+L10</f>
        <v>1300</v>
      </c>
    </row>
    <row r="12" spans="2:14" x14ac:dyDescent="0.3">
      <c r="B12" t="s">
        <v>6</v>
      </c>
      <c r="D12" t="s">
        <v>5</v>
      </c>
      <c r="E12">
        <v>100</v>
      </c>
      <c r="F12">
        <v>700</v>
      </c>
      <c r="G12">
        <v>200</v>
      </c>
      <c r="H12">
        <v>200</v>
      </c>
      <c r="I12">
        <v>310</v>
      </c>
      <c r="J12">
        <v>600</v>
      </c>
      <c r="K12">
        <v>500</v>
      </c>
      <c r="L12">
        <v>1300</v>
      </c>
    </row>
    <row r="16" spans="2:14" x14ac:dyDescent="0.3">
      <c r="B16" t="s">
        <v>13</v>
      </c>
      <c r="D16" t="s">
        <v>7</v>
      </c>
      <c r="E16">
        <v>0.35</v>
      </c>
      <c r="F16">
        <v>1.6</v>
      </c>
      <c r="G16">
        <v>5</v>
      </c>
      <c r="H16">
        <v>35</v>
      </c>
      <c r="I16">
        <v>4</v>
      </c>
      <c r="J16">
        <v>2.5</v>
      </c>
      <c r="K16">
        <v>0.25</v>
      </c>
      <c r="L16">
        <v>0.12</v>
      </c>
    </row>
    <row r="17" spans="2:12" x14ac:dyDescent="0.3">
      <c r="B17" t="s">
        <v>8</v>
      </c>
      <c r="D17" s="1" t="s">
        <v>9</v>
      </c>
      <c r="E17">
        <f>SUMPRODUCT(E9:L9,E16:L16)</f>
        <v>2199.25</v>
      </c>
      <c r="G17">
        <v>2200</v>
      </c>
    </row>
    <row r="18" spans="2:12" x14ac:dyDescent="0.3">
      <c r="B18" t="s">
        <v>10</v>
      </c>
      <c r="D18" s="1" t="s">
        <v>11</v>
      </c>
      <c r="E18">
        <f>SUMPRODUCT(E10:L10,E16:L16)</f>
        <v>2486.75</v>
      </c>
      <c r="G18">
        <v>2500</v>
      </c>
    </row>
    <row r="19" spans="2:12" x14ac:dyDescent="0.3">
      <c r="B19" t="s">
        <v>12</v>
      </c>
      <c r="D19" s="1" t="s">
        <v>19</v>
      </c>
      <c r="E19">
        <f>E17+E18</f>
        <v>4686</v>
      </c>
      <c r="F19" s="2" t="s">
        <v>4</v>
      </c>
      <c r="G19">
        <v>4700</v>
      </c>
    </row>
    <row r="21" spans="2:12" x14ac:dyDescent="0.3">
      <c r="B21" t="s">
        <v>14</v>
      </c>
      <c r="D21" s="1" t="s">
        <v>15</v>
      </c>
      <c r="E21">
        <v>3</v>
      </c>
      <c r="F21">
        <v>1</v>
      </c>
      <c r="G21">
        <v>6.5</v>
      </c>
      <c r="H21">
        <v>6</v>
      </c>
      <c r="I21">
        <v>6</v>
      </c>
      <c r="J21">
        <v>7.6</v>
      </c>
      <c r="K21">
        <v>1</v>
      </c>
      <c r="L21">
        <v>0.5</v>
      </c>
    </row>
    <row r="22" spans="2:12" x14ac:dyDescent="0.3">
      <c r="D22" t="s">
        <v>16</v>
      </c>
      <c r="E22">
        <f>SUMPRODUCT(E9:L9,E21:L21)</f>
        <v>2585</v>
      </c>
      <c r="F22" s="2" t="s">
        <v>4</v>
      </c>
      <c r="G22">
        <v>2588</v>
      </c>
    </row>
    <row r="23" spans="2:12" x14ac:dyDescent="0.3">
      <c r="D23" t="s">
        <v>17</v>
      </c>
      <c r="E23">
        <f>SUMPRODUCT(E10:L10,E21:L21)</f>
        <v>1905</v>
      </c>
      <c r="F23" s="2" t="s">
        <v>4</v>
      </c>
      <c r="G23">
        <v>1905</v>
      </c>
    </row>
    <row r="24" spans="2:12" x14ac:dyDescent="0.3">
      <c r="D24" s="1" t="s">
        <v>18</v>
      </c>
      <c r="E24">
        <f>E22+E23</f>
        <v>4490</v>
      </c>
      <c r="F24" s="2" t="s">
        <v>4</v>
      </c>
      <c r="G24">
        <v>4493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Menu">
                <anchor moveWithCells="1" sizeWithCells="1">
                  <from>
                    <xdr:col>5</xdr:col>
                    <xdr:colOff>30480</xdr:colOff>
                    <xdr:row>34</xdr:row>
                    <xdr:rowOff>0</xdr:rowOff>
                  </from>
                  <to>
                    <xdr:col>7</xdr:col>
                    <xdr:colOff>0</xdr:colOff>
                    <xdr:row>36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B36" sqref="B36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2021-12-11T17:43:39Z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081a346c-3938-41b9-84d2-db6b3e87af4c</vt:lpwstr>
  </property>
</Properties>
</file>